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<sst xmlns="http://schemas.openxmlformats.org/spreadsheetml/2006/main" count="250" uniqueCount="203">
  <si>
    <t>重庆酷小贝软件报价清单（金额：元）</t>
  </si>
  <si>
    <t>客户名称：</t>
  </si>
  <si>
    <t>估机狮</t>
  </si>
  <si>
    <t>报价单位：</t>
  </si>
  <si>
    <t>重庆酷小贝软件开发有限公司</t>
  </si>
  <si>
    <t>项目名称：</t>
  </si>
  <si>
    <t>估机狮C端回收小程序</t>
  </si>
  <si>
    <t>报价时间：</t>
  </si>
  <si>
    <t>2026-07-21</t>
  </si>
  <si>
    <t>序号</t>
  </si>
  <si>
    <t>模块</t>
  </si>
  <si>
    <t>子模块</t>
  </si>
  <si>
    <t>功能</t>
  </si>
  <si>
    <t>子功能</t>
  </si>
  <si>
    <t>功能描述</t>
  </si>
  <si>
    <t>产品</t>
  </si>
  <si>
    <t>后端</t>
  </si>
  <si>
    <t>前端</t>
  </si>
  <si>
    <t>测试</t>
  </si>
  <si>
    <t>UI</t>
  </si>
  <si>
    <t>备注</t>
  </si>
  <si>
    <t>C端微信小程序</t>
  </si>
  <si>
    <t>全局导航与首页</t>
  </si>
  <si>
    <t>全局底部导航</t>
  </si>
  <si>
    <t>Tab栏UI布局实现</t>
  </si>
  <si>
    <t>全局底部导航栏，基于微信小程序原生TabBar组件实现，包含首页、附近门店、我的三个Tab页签，支持图标高亮状态切换和页面路由跳转</t>
  </si>
  <si>
    <t/>
  </si>
  <si>
    <t>首页展示</t>
  </si>
  <si>
    <t>回收成交滚动播报</t>
  </si>
  <si>
    <t>滚动动画播报组件开发</t>
  </si>
  <si>
    <t>首页顶部滚动播报条，基于微信小程序swiper或自定义动画组件实现，暖色背景横条（浅橙/金色）搭配小喇叭图标，滚动模板展示脱敏成交记录（姓+先生/女士+区级地址+机型+成交价），支持多条上下或左右自动轮播，预置20-30条种子数据并支持从真实成交订单自动脱敏抓取</t>
  </si>
  <si>
    <t>属地化门店名片</t>
  </si>
  <si>
    <t>LBS定位与门店信息展示</t>
  </si>
  <si>
    <t>首页门店名片展示区，基于腾讯地图或高德地图LBS定位API实现自动获取用户位置，展示最近合作门店信息（门头大图+店名+地址+距离），提供「联系门店」一键拨打按钮和「加老板微信」弹出二维码大图长按识别功能</t>
  </si>
  <si>
    <t>多品类回收入口</t>
  </si>
  <si>
    <t>品类入口网格布局开发</t>
  </si>
  <si>
    <t>首页多品类回收导航入口，基于微信小程序网格布局实现，支持展示废旧手机（激活状态+红色角标「热收」）、二手手机（灰色「即将上线」）、笔记本/主机（灰色「即将上线」）三个品类入口，角标和激活状态根据后台品类管理配置动态渲染</t>
  </si>
  <si>
    <t>热门回收机型推荐</t>
  </si>
  <si>
    <t>机型卡片推荐列表开发</t>
  </si>
  <si>
    <t>首页热门机型推荐区，基于后端机型推荐接口实现，展示4-6个废旧手机机型卡片（机型图片+型号名称+红色醒目透明回收价），标题「透明回收价，热门机型」，点击卡片跳转至对应机型的估价详情页</t>
  </si>
  <si>
    <t>全局机型搜索框</t>
  </si>
  <si>
    <t>搜索输入框防抖交互开发</t>
  </si>
  <si>
    <t>首页全局搜索框，基于后端机型搜索接口实现，支持用户输入关键词进行废旧手机型号模糊搜索，搜索结果展示匹配机型列表（型号+图片+参考价），点击结果跳转至对应机型估价详情页</t>
  </si>
  <si>
    <t>估价详情</t>
  </si>
  <si>
    <t>估价页机况选择</t>
  </si>
  <si>
    <t>机况单选卡片组件开发</t>
  </si>
  <si>
    <t>估价详情页机况选择区，基于微信小程序自定义单选卡片组件实现，支持大卡片点选单选高亮交互，包含问题一「能正常开机/不能开机」和问题二「屏幕完好/屏幕碎裂或不显示」两个机况问题，选择结果实时联动底部价格计算</t>
  </si>
  <si>
    <t>实时价格计算与展示</t>
  </si>
  <si>
    <t>估价公式引擎接口开发</t>
  </si>
  <si>
    <t>估价详情页实时价格展示区，基于后端估价计算API实现，根据公式「前台展示价=基准行情价×(1-全局下浮比例)×机况折扣系数」实时计算透明回收价，底部悬浮栏左侧灰色划线展示市场回收价，右侧红色加粗展示透明回收价，问号图标点击弹窗解释价格计算规则</t>
  </si>
  <si>
    <t>留资表单提交</t>
  </si>
  <si>
    <t>手机号表单提交组件开发</t>
  </si>
  <si>
    <t>估价详情页留资功能，基于微信小程序表单组件和后端留资接口实现，底部操作栏「留资，等门店联系」按钮点击弹出手机号填写弹窗（必填+格式校验），提交成功后展示提交成功提示并显示最近门店名称，系统自动触发派单流程并记录留资时间</t>
  </si>
  <si>
    <t>附近门店</t>
  </si>
  <si>
    <t>附近门店列表</t>
  </si>
  <si>
    <t>门店列表排序加载组件开发</t>
  </si>
  <si>
    <t>附近门店列表页，基于腾讯地图或高德地图API实现LBS距离计算，按距离由近到远排序展示合作门店列表，单店卡片展示门头照+店名+地址+距离信息，支持列表滚动加载更多</t>
  </si>
  <si>
    <t>附近门店快捷操作</t>
  </si>
  <si>
    <t>一键导航与拨号功能实现</t>
  </si>
  <si>
    <t>附近门店卡片操作区，基于微信小程序开放能力实现，每个门店卡片提供三个快捷操作：一键导航（调起第三方地图APP规划路线）、一键拨打电话（调用wx.makePhoneCall）、为该门店留资（预填门店信息后提交留资表单）</t>
  </si>
  <si>
    <t>个人中心</t>
  </si>
  <si>
    <t>个人中心头部展示</t>
  </si>
  <si>
    <t>用户头像昵称展示组件开发</t>
  </si>
  <si>
    <t>个人中心页面头部区域，基于微信小程序开放能力wx.getUserProfile或头像昵称填写能力实现，展示用户微信头像和昵称，支持头像圆角裁剪和昵称脱敏展示</t>
  </si>
  <si>
    <t>钱包与分销入口</t>
  </si>
  <si>
    <t>钱包余额展示与提现入口开发</t>
  </si>
  <si>
    <t>个人中心钱包与分销区域，基于后端钱包和分销API实现，已开通分销用户展示可提现佣金金额和提现按钮，未开通用户展示「成为环保推荐官，分享赚佣金」引导入口，点击跳转至分享赚钱页面</t>
  </si>
  <si>
    <t>我的订单列表</t>
  </si>
  <si>
    <t>订单列表分页加载组件开发</t>
  </si>
  <si>
    <t>个人中心我的订单列表，基于后端订单API实现，按时间倒序展示用户的所有留资记录，每条记录展示机型名称+提交时间+处理状态（待联系/已成交/已关闭），状态使用不同颜色标签区分，支持上拉加载更多</t>
  </si>
  <si>
    <t>分享赚钱</t>
  </si>
  <si>
    <t>分享赚钱收益看板</t>
  </si>
  <si>
    <t>收益数据统计展示组件开发</t>
  </si>
  <si>
    <t>分享赚钱页收益看板，基于后端分销统计API实现，顶部展示推荐人核心收益数据「已推荐X人，累计赚取¥XX.XX」，数据实时更新，支持数字滚动动画效果</t>
  </si>
  <si>
    <t>专属素材生成与分享</t>
  </si>
  <si>
    <t>海报合成与分享卡片生成服务</t>
  </si>
  <si>
    <t>分享赚钱页专属素材区，基于后端海报合成服务（Canvas/第三方）和微信小程序分享能力实现，支持生成并保存专属品牌海报（自动合成头像+昵称+小程序码，可保存到系统相册）和分享带分销参数的小程序卡片给微信好友（30天锁客绑定机制，用户通过分享卡片进入小程序即建立推荐关系）</t>
  </si>
  <si>
    <t>通用组件</t>
  </si>
  <si>
    <t>佣金到账提示弹窗</t>
  </si>
  <si>
    <t>佣金到账弹窗动画组件开发</t>
  </si>
  <si>
    <t>佣金到账提示弹窗组件，基于微信小程序动画组件实现，分销佣金到账时弹出半屏或居中提示弹窗，展示+/金币符号动画+主体文字「推广奖励已到账+¥X.XX」+次要文字「来自好友的回收成交佣金」，底部提供「知道了」确认按钮关闭弹窗</t>
  </si>
  <si>
    <t>门店老板移动后台H5</t>
  </si>
  <si>
    <t>门店登录</t>
  </si>
  <si>
    <t>微信授权登录</t>
  </si>
  <si>
    <t>OAuth2.0授权流程对接</t>
  </si>
  <si>
    <t>门店老板移动后台H5登录功能，基于微信网页授权OAuth2.0协议实现，支持门店老板通过微信授权一键登录，系统自动识别openid并绑定对应门店身份，登录态使用token+缓存机制保持会话</t>
  </si>
  <si>
    <t>门店首页</t>
  </si>
  <si>
    <t>首页数据看板</t>
  </si>
  <si>
    <t>运营指标卡片组件开发</t>
  </si>
  <si>
    <t>门店移动后台首页数据看板，基于后端数据统计聚合API实现，展示三个核心运营指标卡片（今日新线索数+待联系数+本月累计成交单数），数据支持实时刷新，卡片使用渐变背景和数字突出展示</t>
  </si>
  <si>
    <t>门店钱包</t>
  </si>
  <si>
    <t>钱包余额与充值</t>
  </si>
  <si>
    <t>余额展示与充值引导流程开发</t>
  </si>
  <si>
    <t>门店移动后台钱包余额展示与充值功能，基于后端钱包账户API实现，醒目展示推广预存款余额和账户状态，提供「立即充值」操作按钮（一期点击提示请联系运营充值并引导联系客服），预留后续接入微信支付在线充值的能力</t>
  </si>
  <si>
    <t>资金流水明细</t>
  </si>
  <si>
    <t>资金流水列表分页查询组件</t>
  </si>
  <si>
    <t>门店移动后台资金流水明细列表，基于后端资金流水API实现，按时间倒序展示账户资金变动记录，每条记录展示时间+类型（充值/扣除佣金/调账）+金额（正负号区分）+余额+备注，支持按时间范围和类型筛选</t>
  </si>
  <si>
    <t>门店线索</t>
  </si>
  <si>
    <t>线索管理列表</t>
  </si>
  <si>
    <t>线索列表状态筛选与操作组件</t>
  </si>
  <si>
    <t>门店移动后台线索管理列表，基于后端线索API实现，按提交时间倒序展示分配的留资线索，支持状态筛选Tab（全部/新线索/已联系/已成交/已关闭），单条线索展示用户昵称+机型+预估回收价+提交时间+处理状态，提供「调取电话」展示完整手机号一键拨打和「确认成交」触发成交确认弹窗的操作</t>
  </si>
  <si>
    <t>门店成交</t>
  </si>
  <si>
    <t>成交记录列表</t>
  </si>
  <si>
    <t>成交订单列表与对账筛选组件</t>
  </si>
  <si>
    <t>门店移动后台成交记录独立列表页，基于后端订单API实现，按成交时间倒序展示门店已成交订单，展示订单号+用户昵称+机型+成交价+佣金扣除+成交时间，支持按时间范围筛选，供门店老板线下对账使用</t>
  </si>
  <si>
    <t>确认成交弹窗</t>
  </si>
  <si>
    <t>资金明细确认弹窗组件开发</t>
  </si>
  <si>
    <t>门店确认成交二次确认弹窗组件，基于H5模态弹窗组件实现，展示本次成交确认信息（用户机型+本次成交价+佣金扣除金额红色-¥X.XX+当前余额+扣费后余额加粗突出），底部提供「取消」和「确认成交并扣费」两个按钮，确认后调用后端成交接口完成订单状态变更、佣金计算和余额扣减</t>
  </si>
  <si>
    <t>微信服务号</t>
  </si>
  <si>
    <t>消息推送</t>
  </si>
  <si>
    <t>模板消息推送</t>
  </si>
  <si>
    <t>新线索通知与余额预警推送</t>
  </si>
  <si>
    <t>微信服务号模板消息推送服务，基于微信服务号模板消息API实现，支持新线索实时推送（推送至对应门店绑定的微信用户，含用户昵称+机型+预估回收价信息，携带「立即联系」和「确认成交」跳转按钮）和余额不足预警推送（余额低于设定阈值时自动推送提醒充值模板消息）</t>
  </si>
  <si>
    <t>推广菜单</t>
  </si>
  <si>
    <t>推广菜单功能</t>
  </si>
  <si>
    <t>服务号自定义菜单配置开发</t>
  </si>
  <si>
    <t>微信服务号底部自定义推广菜单，基于微信服务号自定义菜单能力配合H5页面实现，「推广我的门店」菜单点击生成带门店锁客参数的小程序分享卡片和推广海报（可保存分享），「我的客户」菜单跳转至移动后台H5页面查看该门店锁客绑定的客户列表及跟进状态</t>
  </si>
  <si>
    <t>Web管理后台</t>
  </si>
  <si>
    <t>管理控制台</t>
  </si>
  <si>
    <t>控制台数据概览</t>
  </si>
  <si>
    <t>运营数据看板页面开发</t>
  </si>
  <si>
    <t>Web管理后台首页控制台，基于后端数据统计聚合API和前端可视化图表实现，展示平台核心运营数据概览（今日新增线索数+成交单数+发放佣金总额），支持数据看板实时刷新，使用数字卡片和趋势图表展示，适用于运营人员日常监控</t>
  </si>
  <si>
    <t>内容管理</t>
  </si>
  <si>
    <t>滚动播报数据池管理</t>
  </si>
  <si>
    <t>种子数据CRUD管理页面开发</t>
  </si>
  <si>
    <t>滚动播报数据池管理功能，基于后台数据管理接口实现，支持展示滚动播报数据列表（脱敏姓名+地区+机型+成交价+启用状态），提供手动添加种子数据表单、设置从成交订单自动脱敏抓取开关、单条数据禁用/启用/删除操作，自动抓取时按脱敏规则处理真实成交数据后入池</t>
  </si>
  <si>
    <t>品类价格管理</t>
  </si>
  <si>
    <t>回收品类管理</t>
  </si>
  <si>
    <t>品类列表与激活状态管理</t>
  </si>
  <si>
    <t>回收品类管理功能，基于后台品类配置接口实现，支持回收品类的激活/禁用状态切换，品类列表展示（品类名称+图标+启用状态+排序），预留多品类扩展位（后续支持平板/笔记本/主机等品类接入），激活状态的品类在小程序端展示为可选入口</t>
  </si>
  <si>
    <t>机型型号库管理</t>
  </si>
  <si>
    <t>机型数据CRUD管理页面开发</t>
  </si>
  <si>
    <t>机型型号库管理功能，基于后台机型数据管理接口实现，支持品牌+型号+型号图片+基准行情价的增删改查操作，支持批量导入/导出机型数据（Excel格式），机型数据供前台估价计算和全局搜索使用，支持的品牌涵盖苹果、华为、小米、OPPO、vivo等主流品牌</t>
  </si>
  <si>
    <t>统一价格源同步</t>
  </si>
  <si>
    <t>行情价API定时同步服务开发</t>
  </si>
  <si>
    <t>统一基准价格同步服务，基于定时任务调度和HTTP API调用实现，支持配置总部行情价API接口地址和同步频率，定时拉取各机型最新基准行情价数据自动更新机型库，记录每次同步日志（同步时间+成功/失败+更新条数），同步失败时触发告警通知</t>
  </si>
  <si>
    <t>全局调价引擎</t>
  </si>
  <si>
    <t>下浮比例与折扣系数配置</t>
  </si>
  <si>
    <t>全局调价引擎功能，基于价格计算公式引擎实现，支持运营人员设置全局下浮比例（如30%）和机况折扣系数（开机/不开机×屏幕完好/碎裂产生4种机况组合），实时生效价格计算公式「前台展示价=基准行情价×(1-全局下浮比例)×机况折扣系数」，调价操作记录操作日志，支持价格试算预览功能</t>
  </si>
  <si>
    <t>门店管理</t>
  </si>
  <si>
    <t>门店列表与编辑</t>
  </si>
  <si>
    <t>门店信息CRUD管理页面开发</t>
  </si>
  <si>
    <t>门店信息管理功能，基于后台门店管理接口实现，支持门店信息的增删改查和列表展示，门店字段包括门头照（图片上传）+地址+定位坐标（地图选点）+联系电话+微信二维码（图片上传）+服务号绑定（关联微信openid），支持按地区筛选和门店名称搜索</t>
  </si>
  <si>
    <t>门店推广账户管理</t>
  </si>
  <si>
    <t>余额查看与手动充值调账功能</t>
  </si>
  <si>
    <t>门店推广账户管理功能，基于后台账户管理接口实现，支持查看每个门店的推广预存款余额和账户状态，提供手动充值/调账操作入口（输入金额+备注，留存完整操作日志含操作人+时间+金额+类型+备注），展示该门店的资金流水记录（充值+扣佣金+调账明细）</t>
  </si>
  <si>
    <t>我的客户看板</t>
  </si>
  <si>
    <t>锁客客户列表与状态展示</t>
  </si>
  <si>
    <t>门店锁客客户看板，基于后台客户关系API实现，支持按门店维度查看锁客绑定的客户列表，展示客户昵称+绑定时间+绑定来源（分享链接）+留资状态+成交状态，支持按绑定时间范围和客户状态筛选，用于运营了解各门店锁客效果</t>
  </si>
  <si>
    <t>订单线索管理</t>
  </si>
  <si>
    <t>全量线索池</t>
  </si>
  <si>
    <t>线索多维筛选查询页面开发</t>
  </si>
  <si>
    <t>全量线索池管理功能，基于后台线索管理接口实现，展示所有用户的留资记录列表，支持按门店+机型+状态+提交时间+手机号等多维度筛选和搜索，列表展示留资用户昵称+手机号+机型+预估回收价+提交时间+状态+派单门店，支持导出线索数据用于数据分析</t>
  </si>
  <si>
    <t>线索状态流转管理</t>
  </si>
  <si>
    <t>状态机流转路径配置</t>
  </si>
  <si>
    <t>线索状态流转管理功能，基于状态机引擎实现，定义线索从「待派单→已派单→已联系→已成交/已关闭」的标准流转路径，每次状态变更记录操作日志（操作人+时间+源状态+目标状态+备注），已成交和已关闭为终态不可再变更，支持配置超时自动关闭规则</t>
  </si>
  <si>
    <t>派单规则引擎</t>
  </si>
  <si>
    <t>锁客优先与LBS派单决策逻辑</t>
  </si>
  <si>
    <t>派单规则引擎服务，基于决策引擎实现智能派单逻辑，优先判断锁客关系（用户通过分享链接进入且在30天锁客期内则派单给对应锁客门店），否则按LBS距离计算自动派单给最近合作门店，记录每次派单决策日志（决策依据+目标门店+时间），预留二期付费有效性判断接口</t>
  </si>
  <si>
    <t>派单监控看板</t>
  </si>
  <si>
    <t>超时线索监控与人工重派功能</t>
  </si>
  <si>
    <t>派单监控看板功能，基于后台监控服务实现，实时监控超时未处理线索（超过15分钟门店未响应），超时线索红色高亮标记，提供人工「重新派单」操作按钮（可选择手动指派给指定门店或触发自动重新派单），支持按门店维度查看各门店线索处理时效统计</t>
  </si>
  <si>
    <t>分销财务管理</t>
  </si>
  <si>
    <t>佣金比例配置</t>
  </si>
  <si>
    <t>全局佣金比例配置管理</t>
  </si>
  <si>
    <t>佣金比例配置管理功能，基于后台配置管理接口实现，支持运营人员设置全局佣金比例（如成交价的3%），佣金比例变更记录操作日志（操作人+时间+旧比例+新比例），支持配置佣金计算规则（从门店预存款扣除后发放给推荐人），配置实时生效</t>
  </si>
  <si>
    <t>分销员列表</t>
  </si>
  <si>
    <t>分销员列表与业绩排序展示</t>
  </si>
  <si>
    <t>分销员（推荐人）列表管理功能，基于后台分销管理接口实现，展示所有开通分销的用户列表，展示分销员昵称+头像+推荐人数+累计成交单数+累计佣金+可提现余额，支持按业绩排序和搜索，点击可查看该分销员的下级用户列表和佣金明细</t>
  </si>
  <si>
    <t>佣金流水管理</t>
  </si>
  <si>
    <t>佣金流水多维筛选查询</t>
  </si>
  <si>
    <t>佣金流水管理功能，基于后台佣金流水API实现，展示每笔佣金的完整信息（佣金来源订单号+成交门店+推荐人+佣金金额+发放状态（已到账/待发放/已提现）+发放时间），支持按时间范围+状态+门店+推荐人多维度筛选，支持导出佣金流水报表供财务对账</t>
  </si>
  <si>
    <t>提现管理</t>
  </si>
  <si>
    <t>提现申请审核与企业付款对接</t>
  </si>
  <si>
    <t>提现管理功能，基于微信支付企业付款到零钱API实现，支持查看所有提现申请记录（申请人+金额+申请时间+处理状态），运营人员审核提现（通过/拒绝），审核通过后自动调用微信支付企业付款接口打款到推荐人微信零钱，提现失败时自动退回钱包余额并触发告警通知运营人员处理</t>
  </si>
  <si>
    <t>佣金发放监控</t>
  </si>
  <si>
    <t>待发放佣金实时监控服务</t>
  </si>
  <si>
    <t>佣金发放监控服务，基于后台监控调度实现，实时监控待发放佣金状态（成交后是否成功从门店余额扣款并发放佣金），扣款失败时触发告警通知运营人员，确保「不成交不扣钱，成交必扣钱」的资金安全规则，监控看板展示待发放佣金数量+扣款失败告警列表+发放成功率统计</t>
  </si>
  <si>
    <t>系统扩展</t>
  </si>
  <si>
    <t>二期收费接口预留</t>
  </si>
  <si>
    <t>付费字段数据库与接口预留</t>
  </si>
  <si>
    <t>二期商业化收费体系预留设计，基于数据库扩展字段和接口预留实现，数据库中门店表预留字段（套餐类型+有效期+月度线索配额+超出配额单价），派单引擎预留付费有效性判断接口（判断门店是否付费有效+是否超出月度线索配额），后台预留套餐管理模块位置和接口文档，确保一期不影响二期扩展</t>
  </si>
  <si>
    <t>部署与集成</t>
  </si>
  <si>
    <t>部署集成</t>
  </si>
  <si>
    <t>微信生态注册与认证配置</t>
  </si>
  <si>
    <t>小程序与服务号注册认证配置</t>
  </si>
  <si>
    <t>微信生态平台注册与认证配置，基于微信开放平台和微信支付平台实现，完成微信小程序注册与认证（获取AppID+AppSecret+配置服务器域名白名单）、微信服务号注册与认证（获取AppID+AppSecret+配置IP白名单+模板消息申请）、微信支付商户号开通及企业付款到零钱功能申请与配置</t>
  </si>
  <si>
    <t>地图API集成</t>
  </si>
  <si>
    <t>LBS定位与导航服务集成配置</t>
  </si>
  <si>
    <t>地图服务API集成，基于腾讯地图或高德地图开放平台API实现，集成LBS定位服务（获取用户地理位置坐标）、距离计算服务（计算用户与各门店的直线/驾车距离）、地图导航服务（生成导航链接调起第三方地图APP），完成API Key申请和SDK配置</t>
  </si>
  <si>
    <t>总部行情价API对接</t>
  </si>
  <si>
    <t>API接口鉴权与数据格式转换</t>
  </si>
  <si>
    <t>总部基准行情价API对接集成，基于HTTP API接口协议实现，对接内部统一基准价格接口获取各机型最新行情价数据，处理接口鉴权+数据格式转换+异常重试机制，为前端估价计算和后台价格同步提供可靠的数据源</t>
  </si>
  <si>
    <t>工时合计</t>
  </si>
  <si>
    <t>工时单价（元/人天）</t>
  </si>
  <si>
    <t>工时费小计</t>
  </si>
  <si>
    <t>工时费合计</t>
  </si>
  <si>
    <t>税金（6%）</t>
  </si>
  <si>
    <t>合计（含税）</t>
  </si>
  <si>
    <t>【备注】：</t>
  </si>
  <si>
    <t>1. 以上报价含税，税率6%</t>
  </si>
  <si>
    <t>2. 本报价单有效期为30天</t>
  </si>
  <si>
    <t>3. 交付周期：合同签订后60个工作日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</si>
</sst>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workbookViewId="0">
      <pane ySplit="4" topLeftCell="A5" activePane="bottomLeft" state="frozen"/>
      <selection/>
      <selection pane="bottomLeft" activeCell="N56" sqref="N56"/>
    </sheetView>
  </sheetViews>
  <sheetFormatPr defaultColWidth="9" defaultRowHeight="15"/>
  <cols>
    <col min="1" max="1" width="8" customWidth="1"/>
    <col min="2" max="2" width="15" customWidth="1"/>
    <col min="3" max="3" width="18" style="1" customWidth="1"/>
    <col min="4" max="5" width="15" customWidth="1"/>
    <col min="6" max="6" width="70" customWidth="1"/>
    <col min="7" max="11" width="12" customWidth="1"/>
    <col min="12" max="12" width="15" customWidth="1"/>
  </cols>
  <sheetData>
    <row r="1" ht="30" customHeight="1" spans="1:12">
      <c r="A1" s="2" t="s">
        <v>0</v>
      </c>
    </row>
    <row r="2" spans="1:12">
      <c r="A2" t="s">
        <v>1</v>
      </c>
      <c r="B2" t="s">
        <v>2</v>
      </c>
      <c r="E2" t="s">
        <v>3</v>
      </c>
      <c r="F2" t="s">
        <v>4</v>
      </c>
    </row>
    <row r="3" spans="1:12">
      <c r="A3" t="s">
        <v>5</v>
      </c>
      <c r="B3" t="s">
        <v>6</v>
      </c>
      <c r="E3" t="s">
        <v>7</v>
      </c>
      <c r="F3" t="s">
        <v>8</v>
      </c>
    </row>
    <row r="4" ht="25" customHeight="1" spans="1:12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</row>
    <row r="5" ht="40" customHeight="1" spans="1:12">
      <c r="A5" s="4">
        <v>1</v>
      </c>
      <c r="B5" s="5" t="s">
        <v>21</v>
      </c>
      <c r="C5" s="4" t="s">
        <v>22</v>
      </c>
      <c r="D5" s="6" t="s">
        <v>23</v>
      </c>
      <c r="E5" s="6" t="s">
        <v>24</v>
      </c>
      <c r="F5" s="6" t="s">
        <v>25</v>
      </c>
      <c r="G5" s="4">
        <v>0.5</v>
      </c>
      <c r="H5" s="4">
        <v>0</v>
      </c>
      <c r="I5" s="4">
        <v>0.5</v>
      </c>
      <c r="J5" s="4">
        <v>0.5</v>
      </c>
      <c r="K5" s="4">
        <v>0.5</v>
      </c>
      <c r="L5" s="4" t="s">
        <v>26</v>
      </c>
    </row>
    <row r="6" ht="60" spans="1:12">
      <c r="A6" s="4">
        <v>2</v>
      </c>
      <c r="B6" s="7"/>
      <c r="C6" s="5" t="s">
        <v>27</v>
      </c>
      <c r="D6" s="6" t="s">
        <v>28</v>
      </c>
      <c r="E6" s="6" t="s">
        <v>29</v>
      </c>
      <c r="F6" s="6" t="s">
        <v>30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 t="s">
        <v>26</v>
      </c>
    </row>
    <row r="7" ht="45" spans="1:12">
      <c r="A7" s="4">
        <v>3</v>
      </c>
      <c r="B7" s="7"/>
      <c r="C7" s="7"/>
      <c r="D7" s="6" t="s">
        <v>31</v>
      </c>
      <c r="E7" s="6" t="s">
        <v>32</v>
      </c>
      <c r="F7" s="6" t="s">
        <v>33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 t="s">
        <v>26</v>
      </c>
    </row>
    <row r="8" ht="45" spans="1:12">
      <c r="A8" s="4">
        <v>4</v>
      </c>
      <c r="B8" s="7"/>
      <c r="C8" s="7"/>
      <c r="D8" s="6" t="s">
        <v>34</v>
      </c>
      <c r="E8" s="6" t="s">
        <v>35</v>
      </c>
      <c r="F8" s="6" t="s">
        <v>36</v>
      </c>
      <c r="G8" s="4">
        <v>0.5</v>
      </c>
      <c r="H8" s="4">
        <v>0</v>
      </c>
      <c r="I8" s="4">
        <v>0.5</v>
      </c>
      <c r="J8" s="4">
        <v>0.5</v>
      </c>
      <c r="K8" s="4">
        <v>0.5</v>
      </c>
      <c r="L8" s="4" t="s">
        <v>26</v>
      </c>
    </row>
    <row r="9" ht="45" spans="1:12">
      <c r="A9" s="4">
        <v>5</v>
      </c>
      <c r="B9" s="7"/>
      <c r="C9" s="7"/>
      <c r="D9" s="6" t="s">
        <v>37</v>
      </c>
      <c r="E9" s="6" t="s">
        <v>38</v>
      </c>
      <c r="F9" s="6" t="s">
        <v>39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 t="s">
        <v>26</v>
      </c>
    </row>
    <row r="10" ht="30" spans="1:12">
      <c r="A10" s="4">
        <v>6</v>
      </c>
      <c r="B10" s="7"/>
      <c r="C10" s="8"/>
      <c r="D10" s="6" t="s">
        <v>40</v>
      </c>
      <c r="E10" s="6" t="s">
        <v>41</v>
      </c>
      <c r="F10" s="6" t="s">
        <v>42</v>
      </c>
      <c r="G10" s="4">
        <v>1</v>
      </c>
      <c r="H10" s="4">
        <v>1</v>
      </c>
      <c r="I10" s="4">
        <v>1</v>
      </c>
      <c r="J10" s="4">
        <v>1</v>
      </c>
      <c r="K10" s="4">
        <v>0</v>
      </c>
      <c r="L10" s="4" t="s">
        <v>26</v>
      </c>
    </row>
    <row r="11" ht="45" spans="1:12">
      <c r="A11" s="4">
        <v>7</v>
      </c>
      <c r="B11" s="7"/>
      <c r="C11" s="5" t="s">
        <v>43</v>
      </c>
      <c r="D11" s="6" t="s">
        <v>44</v>
      </c>
      <c r="E11" s="6" t="s">
        <v>45</v>
      </c>
      <c r="F11" s="6" t="s">
        <v>46</v>
      </c>
      <c r="G11" s="4">
        <v>1</v>
      </c>
      <c r="H11" s="4">
        <v>0</v>
      </c>
      <c r="I11" s="4">
        <v>1</v>
      </c>
      <c r="J11" s="4">
        <v>1</v>
      </c>
      <c r="K11" s="4">
        <v>1</v>
      </c>
      <c r="L11" s="4" t="s">
        <v>26</v>
      </c>
    </row>
    <row r="12" ht="45" spans="1:12">
      <c r="A12" s="4">
        <v>8</v>
      </c>
      <c r="B12" s="7"/>
      <c r="C12" s="7"/>
      <c r="D12" s="6" t="s">
        <v>47</v>
      </c>
      <c r="E12" s="6" t="s">
        <v>48</v>
      </c>
      <c r="F12" s="6" t="s">
        <v>49</v>
      </c>
      <c r="G12" s="4">
        <v>1.8</v>
      </c>
      <c r="H12" s="4">
        <v>2</v>
      </c>
      <c r="I12" s="4">
        <v>2</v>
      </c>
      <c r="J12" s="4">
        <v>2.1</v>
      </c>
      <c r="K12" s="4">
        <v>2</v>
      </c>
      <c r="L12" s="4" t="s">
        <v>26</v>
      </c>
    </row>
    <row r="13" ht="45" spans="1:12">
      <c r="A13" s="4">
        <v>9</v>
      </c>
      <c r="B13" s="7"/>
      <c r="C13" s="8"/>
      <c r="D13" s="6" t="s">
        <v>50</v>
      </c>
      <c r="E13" s="6" t="s">
        <v>51</v>
      </c>
      <c r="F13" s="6" t="s">
        <v>52</v>
      </c>
      <c r="G13" s="4">
        <v>1</v>
      </c>
      <c r="H13" s="4">
        <v>1</v>
      </c>
      <c r="I13" s="4">
        <v>1</v>
      </c>
      <c r="J13" s="4">
        <v>1</v>
      </c>
      <c r="K13" s="4">
        <v>0</v>
      </c>
      <c r="L13" s="4" t="s">
        <v>26</v>
      </c>
    </row>
    <row r="14" ht="40" customHeight="1" spans="1:12">
      <c r="A14" s="4">
        <v>10</v>
      </c>
      <c r="B14" s="7"/>
      <c r="C14" s="5" t="s">
        <v>53</v>
      </c>
      <c r="D14" s="6" t="s">
        <v>54</v>
      </c>
      <c r="E14" s="6" t="s">
        <v>55</v>
      </c>
      <c r="F14" s="6" t="s">
        <v>56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 t="s">
        <v>26</v>
      </c>
    </row>
    <row r="15" ht="45" spans="1:12">
      <c r="A15" s="4">
        <v>11</v>
      </c>
      <c r="B15" s="7"/>
      <c r="C15" s="8"/>
      <c r="D15" s="6" t="s">
        <v>57</v>
      </c>
      <c r="E15" s="6" t="s">
        <v>58</v>
      </c>
      <c r="F15" s="6" t="s">
        <v>59</v>
      </c>
      <c r="G15" s="4">
        <v>1</v>
      </c>
      <c r="H15" s="4">
        <v>0</v>
      </c>
      <c r="I15" s="4">
        <v>1</v>
      </c>
      <c r="J15" s="4">
        <v>1</v>
      </c>
      <c r="K15" s="4">
        <v>0</v>
      </c>
      <c r="L15" s="4" t="s">
        <v>26</v>
      </c>
    </row>
    <row r="16" ht="40" customHeight="1" spans="1:12">
      <c r="A16" s="4">
        <v>12</v>
      </c>
      <c r="B16" s="7"/>
      <c r="C16" s="5" t="s">
        <v>60</v>
      </c>
      <c r="D16" s="6" t="s">
        <v>61</v>
      </c>
      <c r="E16" s="6" t="s">
        <v>62</v>
      </c>
      <c r="F16" s="6" t="s">
        <v>63</v>
      </c>
      <c r="G16" s="4">
        <v>0.5</v>
      </c>
      <c r="H16" s="4">
        <v>0</v>
      </c>
      <c r="I16" s="4">
        <v>0.5</v>
      </c>
      <c r="J16" s="4">
        <v>0.5</v>
      </c>
      <c r="K16" s="4">
        <v>0.5</v>
      </c>
      <c r="L16" s="4" t="s">
        <v>26</v>
      </c>
    </row>
    <row r="17" ht="45" spans="1:12">
      <c r="A17" s="4">
        <v>13</v>
      </c>
      <c r="B17" s="7"/>
      <c r="C17" s="7"/>
      <c r="D17" s="6" t="s">
        <v>64</v>
      </c>
      <c r="E17" s="6" t="s">
        <v>65</v>
      </c>
      <c r="F17" s="6" t="s">
        <v>66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 t="s">
        <v>26</v>
      </c>
    </row>
    <row r="18" ht="45" spans="1:12">
      <c r="A18" s="4">
        <v>14</v>
      </c>
      <c r="B18" s="7"/>
      <c r="C18" s="8"/>
      <c r="D18" s="6" t="s">
        <v>67</v>
      </c>
      <c r="E18" s="6" t="s">
        <v>68</v>
      </c>
      <c r="F18" s="6" t="s">
        <v>69</v>
      </c>
      <c r="G18" s="4">
        <v>1</v>
      </c>
      <c r="H18" s="4">
        <v>1</v>
      </c>
      <c r="I18" s="4">
        <v>1</v>
      </c>
      <c r="J18" s="4">
        <v>1</v>
      </c>
      <c r="K18" s="4">
        <v>0</v>
      </c>
      <c r="L18" s="4" t="s">
        <v>26</v>
      </c>
    </row>
    <row r="19" ht="40" customHeight="1" spans="1:12">
      <c r="A19" s="4">
        <v>15</v>
      </c>
      <c r="B19" s="7"/>
      <c r="C19" s="5" t="s">
        <v>70</v>
      </c>
      <c r="D19" s="6" t="s">
        <v>71</v>
      </c>
      <c r="E19" s="6" t="s">
        <v>72</v>
      </c>
      <c r="F19" s="6" t="s">
        <v>73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 t="s">
        <v>26</v>
      </c>
    </row>
    <row r="20" ht="60" spans="1:12">
      <c r="A20" s="4">
        <v>16</v>
      </c>
      <c r="B20" s="7"/>
      <c r="C20" s="8"/>
      <c r="D20" s="6" t="s">
        <v>74</v>
      </c>
      <c r="E20" s="6" t="s">
        <v>75</v>
      </c>
      <c r="F20" s="6" t="s">
        <v>76</v>
      </c>
      <c r="G20" s="4">
        <v>1.8</v>
      </c>
      <c r="H20" s="4">
        <v>2</v>
      </c>
      <c r="I20" s="4">
        <v>2</v>
      </c>
      <c r="J20" s="4">
        <v>2.1</v>
      </c>
      <c r="K20" s="4">
        <v>2</v>
      </c>
      <c r="L20" s="4" t="s">
        <v>26</v>
      </c>
    </row>
    <row r="21" ht="45" spans="1:12">
      <c r="A21" s="4">
        <v>17</v>
      </c>
      <c r="B21" s="8"/>
      <c r="C21" s="4" t="s">
        <v>77</v>
      </c>
      <c r="D21" s="6" t="s">
        <v>78</v>
      </c>
      <c r="E21" s="6" t="s">
        <v>79</v>
      </c>
      <c r="F21" s="6" t="s">
        <v>80</v>
      </c>
      <c r="G21" s="4">
        <v>0.5</v>
      </c>
      <c r="H21" s="4">
        <v>0</v>
      </c>
      <c r="I21" s="4">
        <v>0.5</v>
      </c>
      <c r="J21" s="4">
        <v>0.5</v>
      </c>
      <c r="K21" s="4">
        <v>0.5</v>
      </c>
      <c r="L21" s="4" t="s">
        <v>26</v>
      </c>
    </row>
    <row r="22" ht="45" spans="1:12">
      <c r="A22" s="4">
        <v>18</v>
      </c>
      <c r="B22" s="5" t="s">
        <v>81</v>
      </c>
      <c r="C22" s="4" t="s">
        <v>82</v>
      </c>
      <c r="D22" s="6" t="s">
        <v>83</v>
      </c>
      <c r="E22" s="6" t="s">
        <v>84</v>
      </c>
      <c r="F22" s="6" t="s">
        <v>85</v>
      </c>
      <c r="G22" s="4">
        <v>1</v>
      </c>
      <c r="H22" s="4">
        <v>1</v>
      </c>
      <c r="I22" s="4">
        <v>1</v>
      </c>
      <c r="J22" s="4">
        <v>1</v>
      </c>
      <c r="K22" s="4">
        <v>0</v>
      </c>
      <c r="L22" s="4" t="s">
        <v>26</v>
      </c>
    </row>
    <row r="23" ht="45" spans="1:12">
      <c r="A23" s="4">
        <v>19</v>
      </c>
      <c r="B23" s="7"/>
      <c r="C23" s="4" t="s">
        <v>86</v>
      </c>
      <c r="D23" s="6" t="s">
        <v>87</v>
      </c>
      <c r="E23" s="6" t="s">
        <v>88</v>
      </c>
      <c r="F23" s="6" t="s">
        <v>89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 t="s">
        <v>26</v>
      </c>
    </row>
    <row r="24" ht="45" spans="1:12">
      <c r="A24" s="4">
        <v>20</v>
      </c>
      <c r="B24" s="7"/>
      <c r="C24" s="5" t="s">
        <v>90</v>
      </c>
      <c r="D24" s="6" t="s">
        <v>91</v>
      </c>
      <c r="E24" s="6" t="s">
        <v>92</v>
      </c>
      <c r="F24" s="6" t="s">
        <v>93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 t="s">
        <v>26</v>
      </c>
    </row>
    <row r="25" ht="45" spans="1:12">
      <c r="A25" s="4">
        <v>21</v>
      </c>
      <c r="B25" s="7"/>
      <c r="C25" s="8"/>
      <c r="D25" s="6" t="s">
        <v>94</v>
      </c>
      <c r="E25" s="6" t="s">
        <v>95</v>
      </c>
      <c r="F25" s="6" t="s">
        <v>96</v>
      </c>
      <c r="G25" s="4">
        <v>1</v>
      </c>
      <c r="H25" s="4">
        <v>1</v>
      </c>
      <c r="I25" s="4">
        <v>1</v>
      </c>
      <c r="J25" s="4">
        <v>1</v>
      </c>
      <c r="K25" s="4">
        <v>0</v>
      </c>
      <c r="L25" s="4" t="s">
        <v>26</v>
      </c>
    </row>
    <row r="26" ht="60" spans="1:12">
      <c r="A26" s="4">
        <v>22</v>
      </c>
      <c r="B26" s="7"/>
      <c r="C26" s="4" t="s">
        <v>97</v>
      </c>
      <c r="D26" s="6" t="s">
        <v>98</v>
      </c>
      <c r="E26" s="6" t="s">
        <v>99</v>
      </c>
      <c r="F26" s="6" t="s">
        <v>100</v>
      </c>
      <c r="G26" s="4">
        <v>1</v>
      </c>
      <c r="H26" s="4">
        <v>1</v>
      </c>
      <c r="I26" s="4">
        <v>1</v>
      </c>
      <c r="J26" s="4">
        <v>1</v>
      </c>
      <c r="K26" s="4">
        <v>0</v>
      </c>
      <c r="L26" s="4" t="s">
        <v>26</v>
      </c>
    </row>
    <row r="27" ht="45" spans="1:12">
      <c r="A27" s="4">
        <v>23</v>
      </c>
      <c r="B27" s="7"/>
      <c r="C27" s="5" t="s">
        <v>101</v>
      </c>
      <c r="D27" s="6" t="s">
        <v>102</v>
      </c>
      <c r="E27" s="6" t="s">
        <v>103</v>
      </c>
      <c r="F27" s="6" t="s">
        <v>104</v>
      </c>
      <c r="G27" s="4">
        <v>1</v>
      </c>
      <c r="H27" s="4">
        <v>1</v>
      </c>
      <c r="I27" s="4">
        <v>1</v>
      </c>
      <c r="J27" s="4">
        <v>1</v>
      </c>
      <c r="K27" s="4">
        <v>0</v>
      </c>
      <c r="L27" s="4" t="s">
        <v>26</v>
      </c>
    </row>
    <row r="28" ht="60" spans="1:12">
      <c r="A28" s="4">
        <v>24</v>
      </c>
      <c r="B28" s="8"/>
      <c r="C28" s="8"/>
      <c r="D28" s="6" t="s">
        <v>105</v>
      </c>
      <c r="E28" s="6" t="s">
        <v>106</v>
      </c>
      <c r="F28" s="6" t="s">
        <v>107</v>
      </c>
      <c r="G28" s="4">
        <v>1</v>
      </c>
      <c r="H28" s="4">
        <v>1</v>
      </c>
      <c r="I28" s="4">
        <v>1</v>
      </c>
      <c r="J28" s="4">
        <v>1</v>
      </c>
      <c r="K28" s="4">
        <v>0</v>
      </c>
      <c r="L28" s="4" t="s">
        <v>26</v>
      </c>
    </row>
    <row r="29" ht="45" spans="1:12">
      <c r="A29" s="4">
        <v>25</v>
      </c>
      <c r="B29" s="5" t="s">
        <v>108</v>
      </c>
      <c r="C29" s="4" t="s">
        <v>109</v>
      </c>
      <c r="D29" s="6" t="s">
        <v>110</v>
      </c>
      <c r="E29" s="6" t="s">
        <v>111</v>
      </c>
      <c r="F29" s="6" t="s">
        <v>112</v>
      </c>
      <c r="G29" s="4">
        <v>1.8</v>
      </c>
      <c r="H29" s="4">
        <v>2</v>
      </c>
      <c r="I29" s="4">
        <v>0</v>
      </c>
      <c r="J29" s="4">
        <v>2.1</v>
      </c>
      <c r="K29" s="4">
        <v>0</v>
      </c>
      <c r="L29" s="4" t="s">
        <v>26</v>
      </c>
    </row>
    <row r="30" ht="45" spans="1:12">
      <c r="A30" s="4">
        <v>26</v>
      </c>
      <c r="B30" s="8"/>
      <c r="C30" s="4" t="s">
        <v>113</v>
      </c>
      <c r="D30" s="6" t="s">
        <v>114</v>
      </c>
      <c r="E30" s="6" t="s">
        <v>115</v>
      </c>
      <c r="F30" s="6" t="s">
        <v>116</v>
      </c>
      <c r="G30" s="4">
        <v>1</v>
      </c>
      <c r="H30" s="4">
        <v>1</v>
      </c>
      <c r="I30" s="4">
        <v>1</v>
      </c>
      <c r="J30" s="4">
        <v>1</v>
      </c>
      <c r="K30" s="4">
        <v>0</v>
      </c>
      <c r="L30" s="4" t="s">
        <v>26</v>
      </c>
    </row>
    <row r="31" ht="45" spans="1:12">
      <c r="A31" s="4">
        <v>27</v>
      </c>
      <c r="B31" s="5" t="s">
        <v>117</v>
      </c>
      <c r="C31" s="4" t="s">
        <v>118</v>
      </c>
      <c r="D31" s="6" t="s">
        <v>119</v>
      </c>
      <c r="E31" s="6" t="s">
        <v>120</v>
      </c>
      <c r="F31" s="6" t="s">
        <v>121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 t="s">
        <v>26</v>
      </c>
    </row>
    <row r="32" ht="45" spans="1:12">
      <c r="A32" s="4">
        <v>28</v>
      </c>
      <c r="B32" s="7"/>
      <c r="C32" s="4" t="s">
        <v>122</v>
      </c>
      <c r="D32" s="6" t="s">
        <v>123</v>
      </c>
      <c r="E32" s="6" t="s">
        <v>124</v>
      </c>
      <c r="F32" s="6" t="s">
        <v>125</v>
      </c>
      <c r="G32" s="4">
        <v>1</v>
      </c>
      <c r="H32" s="4">
        <v>1</v>
      </c>
      <c r="I32" s="4">
        <v>1</v>
      </c>
      <c r="J32" s="4">
        <v>1</v>
      </c>
      <c r="K32" s="4">
        <v>0</v>
      </c>
      <c r="L32" s="4" t="s">
        <v>26</v>
      </c>
    </row>
    <row r="33" ht="45" spans="1:12">
      <c r="A33" s="4">
        <v>29</v>
      </c>
      <c r="B33" s="7"/>
      <c r="C33" s="5" t="s">
        <v>126</v>
      </c>
      <c r="D33" s="6" t="s">
        <v>127</v>
      </c>
      <c r="E33" s="6" t="s">
        <v>128</v>
      </c>
      <c r="F33" s="6" t="s">
        <v>129</v>
      </c>
      <c r="G33" s="4">
        <v>1</v>
      </c>
      <c r="H33" s="4">
        <v>1</v>
      </c>
      <c r="I33" s="4">
        <v>1</v>
      </c>
      <c r="J33" s="4">
        <v>1</v>
      </c>
      <c r="K33" s="4">
        <v>0</v>
      </c>
      <c r="L33" s="4" t="s">
        <v>26</v>
      </c>
    </row>
    <row r="34" ht="45" spans="1:12">
      <c r="A34" s="4">
        <v>30</v>
      </c>
      <c r="B34" s="7"/>
      <c r="C34" s="7"/>
      <c r="D34" s="6" t="s">
        <v>130</v>
      </c>
      <c r="E34" s="6" t="s">
        <v>131</v>
      </c>
      <c r="F34" s="6" t="s">
        <v>132</v>
      </c>
      <c r="G34" s="4">
        <v>1</v>
      </c>
      <c r="H34" s="4">
        <v>1</v>
      </c>
      <c r="I34" s="4">
        <v>1</v>
      </c>
      <c r="J34" s="4">
        <v>1</v>
      </c>
      <c r="K34" s="4">
        <v>0</v>
      </c>
      <c r="L34" s="4" t="s">
        <v>26</v>
      </c>
    </row>
    <row r="35" ht="45" spans="1:12">
      <c r="A35" s="4">
        <v>31</v>
      </c>
      <c r="B35" s="7"/>
      <c r="C35" s="7"/>
      <c r="D35" s="6" t="s">
        <v>133</v>
      </c>
      <c r="E35" s="6" t="s">
        <v>134</v>
      </c>
      <c r="F35" s="6" t="s">
        <v>135</v>
      </c>
      <c r="G35" s="4">
        <v>1.8</v>
      </c>
      <c r="H35" s="4">
        <v>2</v>
      </c>
      <c r="I35" s="4">
        <v>0</v>
      </c>
      <c r="J35" s="4">
        <v>2.1</v>
      </c>
      <c r="K35" s="4">
        <v>0</v>
      </c>
      <c r="L35" s="4" t="s">
        <v>26</v>
      </c>
    </row>
    <row r="36" ht="60" spans="1:12">
      <c r="A36" s="4">
        <v>32</v>
      </c>
      <c r="B36" s="7"/>
      <c r="C36" s="8"/>
      <c r="D36" s="6" t="s">
        <v>136</v>
      </c>
      <c r="E36" s="6" t="s">
        <v>137</v>
      </c>
      <c r="F36" s="6" t="s">
        <v>138</v>
      </c>
      <c r="G36" s="4">
        <v>1.8</v>
      </c>
      <c r="H36" s="4">
        <v>2</v>
      </c>
      <c r="I36" s="4">
        <v>0</v>
      </c>
      <c r="J36" s="4">
        <v>2.1</v>
      </c>
      <c r="K36" s="4">
        <v>0</v>
      </c>
      <c r="L36" s="4" t="s">
        <v>26</v>
      </c>
    </row>
    <row r="37" ht="45" spans="1:12">
      <c r="A37" s="4">
        <v>33</v>
      </c>
      <c r="B37" s="7"/>
      <c r="C37" s="5" t="s">
        <v>139</v>
      </c>
      <c r="D37" s="6" t="s">
        <v>140</v>
      </c>
      <c r="E37" s="6" t="s">
        <v>141</v>
      </c>
      <c r="F37" s="6" t="s">
        <v>142</v>
      </c>
      <c r="G37" s="4">
        <v>1</v>
      </c>
      <c r="H37" s="4">
        <v>1</v>
      </c>
      <c r="I37" s="4">
        <v>1</v>
      </c>
      <c r="J37" s="4">
        <v>1</v>
      </c>
      <c r="K37" s="4">
        <v>0</v>
      </c>
      <c r="L37" s="4" t="s">
        <v>26</v>
      </c>
    </row>
    <row r="38" ht="45" spans="1:12">
      <c r="A38" s="4">
        <v>34</v>
      </c>
      <c r="B38" s="7"/>
      <c r="C38" s="7"/>
      <c r="D38" s="6" t="s">
        <v>143</v>
      </c>
      <c r="E38" s="6" t="s">
        <v>144</v>
      </c>
      <c r="F38" s="6" t="s">
        <v>145</v>
      </c>
      <c r="G38" s="4">
        <v>1</v>
      </c>
      <c r="H38" s="4">
        <v>1</v>
      </c>
      <c r="I38" s="4">
        <v>1</v>
      </c>
      <c r="J38" s="4">
        <v>1</v>
      </c>
      <c r="K38" s="4">
        <v>0</v>
      </c>
      <c r="L38" s="4" t="s">
        <v>26</v>
      </c>
    </row>
    <row r="39" ht="45" spans="1:12">
      <c r="A39" s="4">
        <v>35</v>
      </c>
      <c r="B39" s="7"/>
      <c r="C39" s="8"/>
      <c r="D39" s="6" t="s">
        <v>146</v>
      </c>
      <c r="E39" s="6" t="s">
        <v>147</v>
      </c>
      <c r="F39" s="6" t="s">
        <v>148</v>
      </c>
      <c r="G39" s="4">
        <v>1</v>
      </c>
      <c r="H39" s="4">
        <v>1</v>
      </c>
      <c r="I39" s="4">
        <v>1</v>
      </c>
      <c r="J39" s="4">
        <v>1</v>
      </c>
      <c r="K39" s="4">
        <v>0</v>
      </c>
      <c r="L39" s="4" t="s">
        <v>26</v>
      </c>
    </row>
    <row r="40" ht="45" spans="1:12">
      <c r="A40" s="4">
        <v>36</v>
      </c>
      <c r="B40" s="7"/>
      <c r="C40" s="5" t="s">
        <v>149</v>
      </c>
      <c r="D40" s="6" t="s">
        <v>150</v>
      </c>
      <c r="E40" s="6" t="s">
        <v>151</v>
      </c>
      <c r="F40" s="6" t="s">
        <v>152</v>
      </c>
      <c r="G40" s="4">
        <v>1</v>
      </c>
      <c r="H40" s="4">
        <v>1</v>
      </c>
      <c r="I40" s="4">
        <v>1</v>
      </c>
      <c r="J40" s="4">
        <v>1</v>
      </c>
      <c r="K40" s="4">
        <v>0</v>
      </c>
      <c r="L40" s="4" t="s">
        <v>26</v>
      </c>
    </row>
    <row r="41" ht="40" customHeight="1" spans="1:12">
      <c r="A41" s="4">
        <v>37</v>
      </c>
      <c r="B41" s="7"/>
      <c r="C41" s="7"/>
      <c r="D41" s="6" t="s">
        <v>153</v>
      </c>
      <c r="E41" s="6" t="s">
        <v>154</v>
      </c>
      <c r="F41" s="6" t="s">
        <v>155</v>
      </c>
      <c r="G41" s="4">
        <v>1</v>
      </c>
      <c r="H41" s="4">
        <v>1</v>
      </c>
      <c r="I41" s="4">
        <v>0</v>
      </c>
      <c r="J41" s="4">
        <v>1</v>
      </c>
      <c r="K41" s="4">
        <v>0</v>
      </c>
      <c r="L41" s="4" t="s">
        <v>26</v>
      </c>
    </row>
    <row r="42" ht="45" spans="1:12">
      <c r="A42" s="4">
        <v>38</v>
      </c>
      <c r="B42" s="7"/>
      <c r="C42" s="7"/>
      <c r="D42" s="6" t="s">
        <v>156</v>
      </c>
      <c r="E42" s="6" t="s">
        <v>157</v>
      </c>
      <c r="F42" s="6" t="s">
        <v>158</v>
      </c>
      <c r="G42" s="4">
        <v>1.8</v>
      </c>
      <c r="H42" s="4">
        <v>2</v>
      </c>
      <c r="I42" s="4">
        <v>0</v>
      </c>
      <c r="J42" s="4">
        <v>2.1</v>
      </c>
      <c r="K42" s="4">
        <v>0</v>
      </c>
      <c r="L42" s="4" t="s">
        <v>26</v>
      </c>
    </row>
    <row r="43" ht="40" customHeight="1" spans="1:12">
      <c r="A43" s="4">
        <v>39</v>
      </c>
      <c r="B43" s="7"/>
      <c r="C43" s="8"/>
      <c r="D43" s="6" t="s">
        <v>159</v>
      </c>
      <c r="E43" s="6" t="s">
        <v>160</v>
      </c>
      <c r="F43" s="6" t="s">
        <v>161</v>
      </c>
      <c r="G43" s="4">
        <v>1</v>
      </c>
      <c r="H43" s="4">
        <v>1</v>
      </c>
      <c r="I43" s="4">
        <v>1</v>
      </c>
      <c r="J43" s="4">
        <v>1</v>
      </c>
      <c r="K43" s="4">
        <v>0</v>
      </c>
      <c r="L43" s="4" t="s">
        <v>26</v>
      </c>
    </row>
    <row r="44" ht="45" spans="1:12">
      <c r="A44" s="4">
        <v>40</v>
      </c>
      <c r="B44" s="7"/>
      <c r="C44" s="5" t="s">
        <v>162</v>
      </c>
      <c r="D44" s="6" t="s">
        <v>163</v>
      </c>
      <c r="E44" s="6" t="s">
        <v>164</v>
      </c>
      <c r="F44" s="6" t="s">
        <v>165</v>
      </c>
      <c r="G44" s="4">
        <v>1</v>
      </c>
      <c r="H44" s="4">
        <v>1</v>
      </c>
      <c r="I44" s="4">
        <v>1</v>
      </c>
      <c r="J44" s="4">
        <v>1</v>
      </c>
      <c r="K44" s="4">
        <v>0</v>
      </c>
      <c r="L44" s="4" t="s">
        <v>26</v>
      </c>
    </row>
    <row r="45" ht="45" spans="1:12">
      <c r="A45" s="4">
        <v>41</v>
      </c>
      <c r="B45" s="7"/>
      <c r="C45" s="7"/>
      <c r="D45" s="6" t="s">
        <v>166</v>
      </c>
      <c r="E45" s="6" t="s">
        <v>167</v>
      </c>
      <c r="F45" s="6" t="s">
        <v>168</v>
      </c>
      <c r="G45" s="4">
        <v>1</v>
      </c>
      <c r="H45" s="4">
        <v>1</v>
      </c>
      <c r="I45" s="4">
        <v>1</v>
      </c>
      <c r="J45" s="4">
        <v>1</v>
      </c>
      <c r="K45" s="4">
        <v>0</v>
      </c>
      <c r="L45" s="4" t="s">
        <v>26</v>
      </c>
    </row>
    <row r="46" ht="45" spans="1:12">
      <c r="A46" s="4">
        <v>42</v>
      </c>
      <c r="B46" s="7"/>
      <c r="C46" s="7"/>
      <c r="D46" s="6" t="s">
        <v>169</v>
      </c>
      <c r="E46" s="6" t="s">
        <v>170</v>
      </c>
      <c r="F46" s="6" t="s">
        <v>171</v>
      </c>
      <c r="G46" s="4">
        <v>1</v>
      </c>
      <c r="H46" s="4">
        <v>1</v>
      </c>
      <c r="I46" s="4">
        <v>1</v>
      </c>
      <c r="J46" s="4">
        <v>1</v>
      </c>
      <c r="K46" s="4">
        <v>0</v>
      </c>
      <c r="L46" s="4" t="s">
        <v>26</v>
      </c>
    </row>
    <row r="47" ht="60" spans="1:12">
      <c r="A47" s="4">
        <v>43</v>
      </c>
      <c r="B47" s="7"/>
      <c r="C47" s="7"/>
      <c r="D47" s="6" t="s">
        <v>172</v>
      </c>
      <c r="E47" s="6" t="s">
        <v>173</v>
      </c>
      <c r="F47" s="6" t="s">
        <v>174</v>
      </c>
      <c r="G47" s="4">
        <v>1.8</v>
      </c>
      <c r="H47" s="4">
        <v>2</v>
      </c>
      <c r="I47" s="4">
        <v>2</v>
      </c>
      <c r="J47" s="4">
        <v>2.1</v>
      </c>
      <c r="K47" s="4">
        <v>0</v>
      </c>
      <c r="L47" s="4" t="s">
        <v>26</v>
      </c>
    </row>
    <row r="48" ht="45" spans="1:12">
      <c r="A48" s="4">
        <v>44</v>
      </c>
      <c r="B48" s="7"/>
      <c r="C48" s="8"/>
      <c r="D48" s="6" t="s">
        <v>175</v>
      </c>
      <c r="E48" s="6" t="s">
        <v>176</v>
      </c>
      <c r="F48" s="6" t="s">
        <v>177</v>
      </c>
      <c r="G48" s="4">
        <v>1.8</v>
      </c>
      <c r="H48" s="4">
        <v>2</v>
      </c>
      <c r="I48" s="4">
        <v>0</v>
      </c>
      <c r="J48" s="4">
        <v>2.1</v>
      </c>
      <c r="K48" s="4">
        <v>0</v>
      </c>
      <c r="L48" s="4" t="s">
        <v>26</v>
      </c>
    </row>
    <row r="49" ht="60" spans="1:12">
      <c r="A49" s="4">
        <v>45</v>
      </c>
      <c r="B49" s="8"/>
      <c r="C49" s="4" t="s">
        <v>178</v>
      </c>
      <c r="D49" s="6" t="s">
        <v>179</v>
      </c>
      <c r="E49" s="6" t="s">
        <v>180</v>
      </c>
      <c r="F49" s="6" t="s">
        <v>181</v>
      </c>
      <c r="G49" s="4">
        <v>1</v>
      </c>
      <c r="H49" s="4">
        <v>1</v>
      </c>
      <c r="I49" s="4">
        <v>0</v>
      </c>
      <c r="J49" s="4">
        <v>1</v>
      </c>
      <c r="K49" s="4">
        <v>0</v>
      </c>
      <c r="L49" s="4" t="s">
        <v>26</v>
      </c>
    </row>
    <row r="50" ht="60" spans="1:12">
      <c r="A50" s="4">
        <v>46</v>
      </c>
      <c r="B50" s="5" t="s">
        <v>182</v>
      </c>
      <c r="C50" s="5" t="s">
        <v>183</v>
      </c>
      <c r="D50" s="6" t="s">
        <v>184</v>
      </c>
      <c r="E50" s="6" t="s">
        <v>185</v>
      </c>
      <c r="F50" s="6" t="s">
        <v>186</v>
      </c>
      <c r="G50" s="4">
        <v>1.8</v>
      </c>
      <c r="H50" s="4">
        <v>2</v>
      </c>
      <c r="I50" s="4">
        <v>0</v>
      </c>
      <c r="J50" s="4">
        <v>2.1</v>
      </c>
      <c r="K50" s="4">
        <v>0</v>
      </c>
      <c r="L50" s="4" t="s">
        <v>26</v>
      </c>
    </row>
    <row r="51" ht="45" spans="1:12">
      <c r="A51" s="4">
        <v>47</v>
      </c>
      <c r="B51" s="7"/>
      <c r="C51" s="7"/>
      <c r="D51" s="6" t="s">
        <v>187</v>
      </c>
      <c r="E51" s="6" t="s">
        <v>188</v>
      </c>
      <c r="F51" s="6" t="s">
        <v>189</v>
      </c>
      <c r="G51" s="4">
        <v>1.8</v>
      </c>
      <c r="H51" s="4">
        <v>2</v>
      </c>
      <c r="I51" s="4">
        <v>2</v>
      </c>
      <c r="J51" s="4">
        <v>2.1</v>
      </c>
      <c r="K51" s="4">
        <v>0</v>
      </c>
      <c r="L51" s="4" t="s">
        <v>26</v>
      </c>
    </row>
    <row r="52" ht="45" spans="1:12">
      <c r="A52" s="4">
        <v>48</v>
      </c>
      <c r="B52" s="8"/>
      <c r="C52" s="8"/>
      <c r="D52" s="6" t="s">
        <v>190</v>
      </c>
      <c r="E52" s="6" t="s">
        <v>191</v>
      </c>
      <c r="F52" s="6" t="s">
        <v>192</v>
      </c>
      <c r="G52" s="4">
        <v>1.8</v>
      </c>
      <c r="H52" s="4">
        <v>2</v>
      </c>
      <c r="I52" s="4">
        <v>0</v>
      </c>
      <c r="J52" s="4">
        <v>2.1</v>
      </c>
      <c r="K52" s="4">
        <v>0</v>
      </c>
      <c r="L52" s="4" t="s">
        <v>26</v>
      </c>
    </row>
    <row r="53" ht="31.5" customHeight="1" spans="1:12">
      <c r="A53" s="9" t="s">
        <v>193</v>
      </c>
      <c r="B53" s="10"/>
      <c r="C53" s="10"/>
      <c r="D53" s="10"/>
      <c r="E53" s="10"/>
      <c r="F53" s="11"/>
      <c r="G53" s="12">
        <f t="shared" ref="G53:L53" si="0">SUM(G5:G52)</f>
        <v>54.8</v>
      </c>
      <c r="H53" s="12">
        <f t="shared" si="0"/>
        <v>53</v>
      </c>
      <c r="I53" s="12">
        <f t="shared" si="0"/>
        <v>41</v>
      </c>
      <c r="J53" s="12">
        <f t="shared" si="0"/>
        <v>58.1</v>
      </c>
      <c r="K53" s="12">
        <f t="shared" si="0"/>
        <v>16</v>
      </c>
      <c r="L53" s="12"/>
    </row>
    <row r="54" ht="45" spans="1:12">
      <c r="A54" s="9" t="s">
        <v>194</v>
      </c>
      <c r="B54" s="10"/>
      <c r="C54" s="10"/>
      <c r="D54" s="10"/>
      <c r="E54" s="10"/>
      <c r="F54" s="11"/>
      <c r="G54" s="12">
        <v>850</v>
      </c>
      <c r="H54" s="12">
        <v>850</v>
      </c>
      <c r="I54" s="12">
        <v>700</v>
      </c>
      <c r="J54" s="12">
        <v>600</v>
      </c>
      <c r="K54" s="12">
        <v>650</v>
      </c>
      <c r="L54" s="13"/>
    </row>
    <row r="55" ht="30" spans="1:12">
      <c r="A55" s="9" t="s">
        <v>195</v>
      </c>
      <c r="B55" s="10"/>
      <c r="C55" s="10"/>
      <c r="D55" s="10"/>
      <c r="E55" s="10"/>
      <c r="F55" s="11"/>
      <c r="G55" s="12">
        <f>G53*G54</f>
        <v>46580</v>
      </c>
      <c r="H55" s="12">
        <f>H53*H54</f>
        <v>45050</v>
      </c>
      <c r="I55" s="12">
        <f>I53*I54</f>
        <v>28700</v>
      </c>
      <c r="J55" s="12">
        <f>J53*J54</f>
        <v>34860</v>
      </c>
      <c r="K55" s="12">
        <f>K53*K54</f>
        <v>10400</v>
      </c>
      <c r="L55" s="13"/>
    </row>
    <row r="56" ht="31.5" spans="1:12">
      <c r="A56" s="14" t="s">
        <v>196</v>
      </c>
      <c r="B56" s="15"/>
      <c r="C56" s="15"/>
      <c r="D56" s="15"/>
      <c r="E56" s="15"/>
      <c r="F56" s="16"/>
      <c r="G56" s="14">
        <f>G55+H55+I55+J55+K55</f>
        <v>165590</v>
      </c>
      <c r="H56" s="15"/>
      <c r="I56" s="15"/>
      <c r="J56" s="15"/>
      <c r="K56" s="16"/>
      <c r="L56" s="13"/>
    </row>
    <row r="57" ht="30" spans="1:12">
      <c r="A57" s="17" t="s">
        <v>197</v>
      </c>
      <c r="B57" s="18"/>
      <c r="C57" s="18"/>
      <c r="D57" s="18"/>
      <c r="E57" s="18"/>
      <c r="F57" s="19"/>
      <c r="G57" s="17">
        <f>G56*0.06</f>
        <v>9935.4</v>
      </c>
      <c r="H57" s="18"/>
      <c r="I57" s="18"/>
      <c r="J57" s="18"/>
      <c r="K57" s="19"/>
      <c r="L57" s="13"/>
    </row>
    <row r="58" ht="31.5" spans="1:12">
      <c r="A58" s="14" t="s">
        <v>198</v>
      </c>
      <c r="B58" s="15"/>
      <c r="C58" s="15"/>
      <c r="D58" s="15"/>
      <c r="E58" s="15"/>
      <c r="F58" s="16"/>
      <c r="G58" s="20">
        <f>G56+G57</f>
        <v>175525.4</v>
      </c>
      <c r="H58" s="21"/>
      <c r="I58" s="21"/>
      <c r="J58" s="21"/>
      <c r="K58" s="22"/>
      <c r="L58" s="13"/>
    </row>
    <row r="60" spans="1:12">
      <c r="A60" s="23" t="s">
        <v>199</v>
      </c>
    </row>
    <row r="61" spans="1:12">
      <c r="A61" t="s">
        <v>200</v>
      </c>
    </row>
    <row r="62" spans="1:12">
      <c r="A62" t="s">
        <v>201</v>
      </c>
    </row>
    <row r="63" spans="1:12">
      <c r="A63" t="s">
        <v>202</v>
      </c>
    </row>
  </sheetData>
  <mergeCells count="27">
    <mergeCell ref="A1:L1"/>
    <mergeCell ref="A53:F53"/>
    <mergeCell ref="A54:F54"/>
    <mergeCell ref="A55:F55"/>
    <mergeCell ref="A56:F56"/>
    <mergeCell ref="G56:K56"/>
    <mergeCell ref="A57:F57"/>
    <mergeCell ref="G57:K57"/>
    <mergeCell ref="A58:F58"/>
    <mergeCell ref="G58:K58"/>
    <mergeCell ref="B5:B21"/>
    <mergeCell ref="B22:B28"/>
    <mergeCell ref="B29:B30"/>
    <mergeCell ref="B31:B49"/>
    <mergeCell ref="B50:B52"/>
    <mergeCell ref="C6:C10"/>
    <mergeCell ref="C11:C13"/>
    <mergeCell ref="C14:C15"/>
    <mergeCell ref="C16:C18"/>
    <mergeCell ref="C19:C20"/>
    <mergeCell ref="C24:C25"/>
    <mergeCell ref="C27:C28"/>
    <mergeCell ref="C33:C36"/>
    <mergeCell ref="C37:C39"/>
    <mergeCell ref="C40:C43"/>
    <mergeCell ref="C44:C48"/>
    <mergeCell ref="C50:C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Cox</cp:lastModifiedBy>
  <dcterms:created xsi:type="dcterms:W3CDTF">2026-07-21T10:57:00Z</dcterms:created>
  <dcterms:modified xsi:type="dcterms:W3CDTF">2026-07-21T11:10:35Z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CFF0F5EAFF0614E2FEE25E6ACB114547_42</vt:lpwstr>
  </property>
  <property fmtid="{D5CDD505-2E9C-101B-9397-08002B2CF9AE}" pid="3" name="KSOProductBuildVer">
    <vt:lpwstr>1033-12.1.2.26885</vt:lpwstr>
  </property>
  <property fmtid="{D5CDD505-2E9C-101B-9397-08002B2CF9AE}" pid="4" name="CalculationRule">
    <vt:i4>0</vt:i4>
  </property>
</Properties>
</file>